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njani\AppData\Local\Microsoft\Windows\INetCache\Content.Outlook\4QVSKQRQ\"/>
    </mc:Choice>
  </mc:AlternateContent>
  <xr:revisionPtr revIDLastSave="0" documentId="13_ncr:1_{E785F577-A02F-40C0-8DE3-EA6605981C3D}" xr6:coauthVersionLast="47" xr6:coauthVersionMax="47" xr10:uidLastSave="{00000000-0000-0000-0000-000000000000}"/>
  <bookViews>
    <workbookView xWindow="28680" yWindow="-120" windowWidth="29040" windowHeight="15840" xr2:uid="{55F859D0-61EE-49A4-9BB4-574F601BFC42}"/>
  </bookViews>
  <sheets>
    <sheet name="CAPEX 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N9" i="1"/>
  <c r="U6" i="1" l="1"/>
  <c r="L6" i="1"/>
  <c r="G6" i="1"/>
  <c r="E6" i="1"/>
  <c r="E13" i="1"/>
  <c r="G7" i="1"/>
  <c r="U7" i="1" s="1"/>
  <c r="U13" i="1"/>
  <c r="U9" i="1"/>
  <c r="T23" i="1"/>
  <c r="S23" i="1"/>
  <c r="R23" i="1"/>
  <c r="Q23" i="1"/>
  <c r="P23" i="1"/>
  <c r="O23" i="1"/>
  <c r="N23" i="1"/>
  <c r="M23" i="1"/>
  <c r="J23" i="1"/>
  <c r="I23" i="1"/>
  <c r="T16" i="1"/>
  <c r="T25" i="1" s="1"/>
  <c r="S16" i="1"/>
  <c r="S25" i="1" s="1"/>
  <c r="R16" i="1"/>
  <c r="R25" i="1" s="1"/>
  <c r="Q16" i="1"/>
  <c r="Q25" i="1" s="1"/>
  <c r="P16" i="1"/>
  <c r="P25" i="1" s="1"/>
  <c r="N16" i="1"/>
  <c r="N25" i="1" s="1"/>
  <c r="J16" i="1"/>
  <c r="J25" i="1" s="1"/>
  <c r="I16" i="1"/>
  <c r="F23" i="1"/>
  <c r="E23" i="1"/>
  <c r="G21" i="1"/>
  <c r="L21" i="1" s="1"/>
  <c r="G20" i="1"/>
  <c r="K20" i="1" s="1"/>
  <c r="U20" i="1" s="1"/>
  <c r="G19" i="1"/>
  <c r="G5" i="1"/>
  <c r="L5" i="1" s="1"/>
  <c r="U5" i="1" s="1"/>
  <c r="G8" i="1"/>
  <c r="M8" i="1" s="1"/>
  <c r="G9" i="1"/>
  <c r="G10" i="1"/>
  <c r="M10" i="1" s="1"/>
  <c r="U10" i="1" s="1"/>
  <c r="G11" i="1"/>
  <c r="G12" i="1"/>
  <c r="G13" i="1"/>
  <c r="G14" i="1"/>
  <c r="G4" i="1"/>
  <c r="L4" i="1" s="1"/>
  <c r="U4" i="1" s="1"/>
  <c r="F16" i="1"/>
  <c r="F25" i="1" s="1"/>
  <c r="E16" i="1"/>
  <c r="E25" i="1" s="1"/>
  <c r="L14" i="1" l="1"/>
  <c r="K14" i="1"/>
  <c r="G23" i="1"/>
  <c r="K19" i="1"/>
  <c r="U21" i="1"/>
  <c r="L23" i="1"/>
  <c r="M12" i="1"/>
  <c r="L12" i="1"/>
  <c r="O11" i="1"/>
  <c r="O16" i="1" s="1"/>
  <c r="O25" i="1" s="1"/>
  <c r="M11" i="1"/>
  <c r="U11" i="1" s="1"/>
  <c r="U8" i="1"/>
  <c r="M16" i="1"/>
  <c r="M25" i="1" s="1"/>
  <c r="I25" i="1"/>
  <c r="G16" i="1"/>
  <c r="G25" i="1" s="1"/>
  <c r="U19" i="1" l="1"/>
  <c r="K23" i="1"/>
  <c r="U23" i="1" s="1"/>
  <c r="U14" i="1"/>
  <c r="K16" i="1"/>
  <c r="K25" i="1" s="1"/>
  <c r="U12" i="1"/>
  <c r="L16" i="1"/>
  <c r="L25" i="1" l="1"/>
  <c r="U25" i="1" s="1"/>
  <c r="U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Shahab Punjani</author>
  </authors>
  <commentList>
    <comment ref="E4" authorId="0" shapeId="0" xr:uid="{3A23722D-EEA3-43B3-B8CC-AE445C6D6EE8}">
      <text>
        <r>
          <rPr>
            <b/>
            <sz val="9"/>
            <color indexed="81"/>
            <rFont val="Tahoma"/>
            <charset val="1"/>
          </rPr>
          <t>75K EURO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4" authorId="0" shapeId="0" xr:uid="{4CB350A5-4B94-45DD-B5C5-892C4BC109D6}">
      <text>
        <r>
          <rPr>
            <b/>
            <sz val="9"/>
            <color indexed="81"/>
            <rFont val="Tahoma"/>
            <family val="2"/>
          </rPr>
          <t>30% ON 75K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31F859AA-0BA1-47CE-9C05-84901353CDE2}">
      <text>
        <r>
          <rPr>
            <b/>
            <sz val="9"/>
            <color indexed="81"/>
            <rFont val="Tahoma"/>
            <family val="2"/>
          </rPr>
          <t>NO PO'S ISSUED. ESTIMATED COST. WORKING ON QUOTES
- MOHAN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0" shapeId="0" xr:uid="{6D4BE052-082C-46EC-8F1C-A22500136EA0}">
      <text>
        <r>
          <rPr>
            <b/>
            <sz val="9"/>
            <color indexed="81"/>
            <rFont val="Tahoma"/>
            <family val="2"/>
          </rPr>
          <t>9.5K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" authorId="0" shapeId="0" xr:uid="{D7E4375A-826C-44AE-BB90-34859AF23AAA}">
      <text>
        <r>
          <rPr>
            <b/>
            <sz val="9"/>
            <color indexed="81"/>
            <rFont val="Tahoma"/>
            <family val="2"/>
          </rPr>
          <t>DAVID</t>
        </r>
        <r>
          <rPr>
            <sz val="9"/>
            <color indexed="81"/>
            <rFont val="Tahoma"/>
            <family val="2"/>
          </rPr>
          <t xml:space="preserve">
~8K USD</t>
        </r>
      </text>
    </comment>
    <comment ref="E8" authorId="0" shapeId="0" xr:uid="{68693330-3108-446A-A34C-4EF7228A97E5}">
      <text>
        <r>
          <rPr>
            <b/>
            <sz val="9"/>
            <color indexed="81"/>
            <rFont val="Tahoma"/>
            <charset val="1"/>
          </rPr>
          <t>66.5K EURO</t>
        </r>
      </text>
    </comment>
    <comment ref="F8" authorId="0" shapeId="0" xr:uid="{A133C9D1-59BB-4992-9894-F5EB8A681992}">
      <text>
        <r>
          <rPr>
            <b/>
            <sz val="9"/>
            <color indexed="81"/>
            <rFont val="Tahoma"/>
            <family val="2"/>
          </rPr>
          <t>40% 26,594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0" shapeId="0" xr:uid="{0BE6CF52-4A35-4BB1-9FCD-73F6272BE072}">
      <text>
        <r>
          <rPr>
            <b/>
            <sz val="9"/>
            <color indexed="81"/>
            <rFont val="Tahoma"/>
            <family val="2"/>
          </rPr>
          <t>50% PAID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 shapeId="0" xr:uid="{F0188CFE-AD78-4548-BA7E-623026D34D44}">
      <text>
        <r>
          <rPr>
            <b/>
            <sz val="9"/>
            <color indexed="81"/>
            <rFont val="Tahoma"/>
            <charset val="1"/>
          </rPr>
          <t>ESTIMATED
(DAVID)</t>
        </r>
      </text>
    </comment>
    <comment ref="E12" authorId="0" shapeId="0" xr:uid="{E82511CB-5719-4413-A065-3162F22F5ECD}">
      <text>
        <r>
          <rPr>
            <b/>
            <sz val="9"/>
            <color indexed="81"/>
            <rFont val="Tahoma"/>
            <charset val="1"/>
          </rPr>
          <t>ESTIMATED
(DAVID)</t>
        </r>
      </text>
    </comment>
    <comment ref="E13" authorId="0" shapeId="0" xr:uid="{006EB629-D878-4966-A986-075A32808496}">
      <text>
        <r>
          <rPr>
            <b/>
            <sz val="9"/>
            <color indexed="81"/>
            <rFont val="Tahoma"/>
            <family val="2"/>
          </rPr>
          <t>DAVID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FC61A878-9311-4D13-B3B2-2664C2FCE24C}">
      <text>
        <r>
          <rPr>
            <b/>
            <sz val="9"/>
            <color indexed="81"/>
            <rFont val="Tahoma"/>
            <family val="2"/>
          </rPr>
          <t>PAID &amp; BOOKED IN WIP</t>
        </r>
      </text>
    </comment>
    <comment ref="M13" authorId="0" shapeId="0" xr:uid="{51C7F241-7354-4390-AB66-E51726224082}">
      <text>
        <r>
          <rPr>
            <b/>
            <sz val="9"/>
            <color indexed="81"/>
            <rFont val="Tahoma"/>
            <family val="2"/>
          </rPr>
          <t>MORE FOCUS IN MAY ON COOLING TOWER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 xr:uid="{845CCE4B-FD3F-424A-B410-207E3D94DBBB}">
      <text>
        <r>
          <rPr>
            <b/>
            <sz val="9"/>
            <color indexed="81"/>
            <rFont val="Tahoma"/>
            <family val="2"/>
          </rPr>
          <t>DAVID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0" shapeId="0" xr:uid="{3FCE5FEC-961E-4FC2-9B7E-C65E35354A75}">
      <text>
        <r>
          <rPr>
            <b/>
            <sz val="9"/>
            <color indexed="81"/>
            <rFont val="Tahoma"/>
            <family val="2"/>
          </rPr>
          <t>PAID &amp; BOOKED IN WIP</t>
        </r>
      </text>
    </comment>
  </commentList>
</comments>
</file>

<file path=xl/sharedStrings.xml><?xml version="1.0" encoding="utf-8"?>
<sst xmlns="http://schemas.openxmlformats.org/spreadsheetml/2006/main" count="77" uniqueCount="60">
  <si>
    <t>CAD</t>
  </si>
  <si>
    <t>DESCRIPTION</t>
  </si>
  <si>
    <t>Alessiotech</t>
  </si>
  <si>
    <t>PO#</t>
  </si>
  <si>
    <t>PO30767</t>
  </si>
  <si>
    <t>Vendor</t>
  </si>
  <si>
    <t>HIRSCH</t>
  </si>
  <si>
    <t>PO31089</t>
  </si>
  <si>
    <t>Nolte</t>
  </si>
  <si>
    <t>PO28404</t>
  </si>
  <si>
    <t>Rulmeca</t>
  </si>
  <si>
    <t>PO31188</t>
  </si>
  <si>
    <t>STEAM CHEST - 4 CAVITY</t>
  </si>
  <si>
    <t>OSB PASSMORE</t>
  </si>
  <si>
    <t>TRANSFER</t>
  </si>
  <si>
    <t>MULTIPLE</t>
  </si>
  <si>
    <t>PENDING</t>
  </si>
  <si>
    <t>COOLING TOWER TO TO CALGARY</t>
  </si>
  <si>
    <t>PACKING MACHINE CALGARY</t>
  </si>
  <si>
    <t>EUR - CAD</t>
  </si>
  <si>
    <t>FX -</t>
  </si>
  <si>
    <t>RIGGING</t>
  </si>
  <si>
    <t>INSTALLATION FOR STEAM CHEST</t>
  </si>
  <si>
    <t>NO PO'S ISSD</t>
  </si>
  <si>
    <t>AMDECK PRO - NEW MOLD</t>
  </si>
  <si>
    <t>PAID</t>
  </si>
  <si>
    <t>UNPAID</t>
  </si>
  <si>
    <t>LOCATION</t>
  </si>
  <si>
    <t>TORONTO</t>
  </si>
  <si>
    <t>CALGARY</t>
  </si>
  <si>
    <t>PASSMORE</t>
  </si>
  <si>
    <t>BOILER #3 THERMO</t>
  </si>
  <si>
    <t>BOILER #1,2 BELL</t>
  </si>
  <si>
    <t xml:space="preserve">BOILER #4 EST </t>
  </si>
  <si>
    <t>OPEN OR EXPECTED CAPEX PROJECTS</t>
  </si>
  <si>
    <t>TOTAL</t>
  </si>
  <si>
    <t>OTHER SPENDS (R&amp;M)</t>
  </si>
  <si>
    <t>GRAND TOTAL</t>
  </si>
  <si>
    <t>EST PAYMENT SCHEDULES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</si>
  <si>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</si>
  <si>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</si>
  <si>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</si>
  <si>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</si>
  <si>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</si>
  <si>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</si>
  <si>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</si>
  <si>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</si>
  <si>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</si>
  <si>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</si>
  <si>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</si>
  <si>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</si>
  <si>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8" CORNER MOLD</t>
  </si>
  <si>
    <t xml:space="preserve">STRUCTURAL CHANGE </t>
  </si>
  <si>
    <t>ROLLERS FOR BLOCK MOLD</t>
  </si>
  <si>
    <t xml:space="preserve">EST COST </t>
  </si>
  <si>
    <t>All currency in CAD$</t>
  </si>
  <si>
    <t>HI-R H 4" MOLD</t>
  </si>
  <si>
    <t>KEZHUO</t>
  </si>
  <si>
    <t>PARTS FOR STEAM CHEST</t>
  </si>
  <si>
    <t>PO2869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</si>
</sst>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&quot;$&quot;* #,##0_-;\-&quot;$&quot;* #,##0_-;_-&quot;$&quot;* &quot;-&quot;??_-;_-@_-"/>
    <numFmt numFmtId="167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166" fontId="4" fillId="0" borderId="0" xfId="2" applyNumberFormat="1" applyFont="1"/>
    <xf numFmtId="166" fontId="4" fillId="0" borderId="0" xfId="0" applyNumberFormat="1" applyFont="1"/>
    <xf numFmtId="166" fontId="4" fillId="0" borderId="0" xfId="2" applyNumberFormat="1" applyFont="1" applyAlignment="1">
      <alignment horizontal="right"/>
    </xf>
    <xf numFmtId="166" fontId="4" fillId="2" borderId="0" xfId="2" applyNumberFormat="1" applyFont="1" applyFill="1"/>
    <xf numFmtId="0" fontId="7" fillId="0" borderId="0" xfId="0" applyFont="1"/>
    <xf numFmtId="166" fontId="7" fillId="0" borderId="0" xfId="2" applyNumberFormat="1" applyFont="1"/>
    <xf numFmtId="0" fontId="8" fillId="0" borderId="0" xfId="0" applyFont="1"/>
    <xf numFmtId="166" fontId="8" fillId="0" borderId="0" xfId="2" applyNumberFormat="1" applyFont="1"/>
    <xf numFmtId="166" fontId="8" fillId="0" borderId="0" xfId="2" applyNumberFormat="1" applyFont="1" applyAlignment="1">
      <alignment horizontal="right"/>
    </xf>
    <xf numFmtId="166" fontId="8" fillId="0" borderId="0" xfId="0" applyNumberFormat="1" applyFont="1"/>
    <xf numFmtId="0" fontId="9" fillId="0" borderId="0" xfId="0" applyFont="1"/>
    <xf numFmtId="166" fontId="4" fillId="0" borderId="1" xfId="2" applyNumberFormat="1" applyFont="1" applyBorder="1"/>
    <xf numFmtId="166" fontId="7" fillId="0" borderId="2" xfId="2" applyNumberFormat="1" applyFont="1" applyBorder="1"/>
    <xf numFmtId="0" fontId="7" fillId="0" borderId="0" xfId="0" applyFont="1" applyAlignment="1">
      <alignment horizontal="right"/>
    </xf>
    <xf numFmtId="166" fontId="7" fillId="0" borderId="0" xfId="0" applyNumberFormat="1" applyFont="1" applyAlignment="1">
      <alignment horizontal="right"/>
    </xf>
    <xf numFmtId="165" fontId="7" fillId="0" borderId="0" xfId="1" applyFont="1"/>
    <xf numFmtId="166" fontId="10" fillId="0" borderId="0" xfId="2" applyNumberFormat="1" applyFont="1" applyAlignment="1">
      <alignment horizontal="right"/>
    </xf>
    <xf numFmtId="0" fontId="12" fillId="0" borderId="0" xfId="0" applyFont="1"/>
    <xf numFmtId="166" fontId="12" fillId="0" borderId="0" xfId="2" applyNumberFormat="1" applyFont="1"/>
    <xf numFmtId="166" fontId="9" fillId="0" borderId="0" xfId="2" applyNumberFormat="1" applyFont="1" applyAlignment="1">
      <alignment horizontal="right"/>
    </xf>
    <xf numFmtId="0" fontId="8" fillId="0" borderId="0" xfId="0" applyFont="1" applyAlignment="1">
      <alignment horizontal="right"/>
    </xf>
    <xf numFmtId="167" fontId="4" fillId="0" borderId="0" xfId="1" applyNumberFormat="1" applyFont="1"/>
    <xf numFmtId="167" fontId="4" fillId="0" borderId="1" xfId="2" applyNumberFormat="1" applyFont="1" applyBorder="1"/>
    <xf numFmtId="166" fontId="8" fillId="3" borderId="0" xfId="2" applyNumberFormat="1" applyFont="1" applyFill="1"/>
    <xf numFmtId="0" fontId="8" fillId="0" borderId="0" xfId="0" applyFont="1" applyAlignment="1">
      <alignment horizontal="left" vertical="center" wrapText="1"/>
    </xf>
    <xf numFmtId="166" fontId="7" fillId="3" borderId="2" xfId="2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34B2-724B-4C95-BD41-28DA67917A29}">
  <sheetPr>
    <pageSetUpPr fitToPage="1"/>
  </sheetPr>
  <dimension ref="A1:U28"/>
  <sheetViews>
    <sheetView showGridLines="0" tabSelected="1" zoomScale="115" zoomScaleNormal="115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U25" sqref="U25"/>
    </sheetView>
  </sheetViews>
  <sheetFormatPr defaultRowHeight="15" x14ac:dyDescent="0.25"/>
  <cols>
    <col min="1" max="1" width="11" style="1" customWidth="1"/>
    <col min="2" max="2" width="27" style="1" customWidth="1"/>
    <col min="3" max="3" width="11.28515625" style="1" customWidth="1"/>
    <col min="4" max="4" width="13" style="1" customWidth="1"/>
    <col min="5" max="5" width="12.42578125" style="2" customWidth="1"/>
    <col min="6" max="6" width="10.7109375" style="2" customWidth="1"/>
    <col min="7" max="7" width="10.7109375" style="2" bestFit="1" customWidth="1"/>
    <col min="8" max="8" width="2.7109375" style="2" customWidth="1"/>
    <col min="9" max="9" width="8" style="2" customWidth="1"/>
    <col min="10" max="10" width="6.5703125" style="2" customWidth="1"/>
    <col min="11" max="11" width="10.5703125" style="2" bestFit="1" customWidth="1"/>
    <col min="12" max="12" width="10.5703125" style="3" bestFit="1" customWidth="1"/>
    <col min="13" max="13" width="10.5703125" style="1" bestFit="1" customWidth="1"/>
    <col min="14" max="16" width="9.42578125" style="1" bestFit="1" customWidth="1"/>
    <col min="17" max="20" width="6.5703125" style="1" customWidth="1"/>
    <col min="21" max="21" width="10.5703125" style="1" bestFit="1" customWidth="1"/>
    <col min="22" max="16384" width="9.140625" style="1"/>
  </cols>
  <sheetData>
    <row r="1" spans="1:21" ht="15" customHeight="1" x14ac:dyDescent="0.25">
      <c r="A1" s="26" t="s">
        <v>34</v>
      </c>
      <c r="B1" s="26"/>
      <c r="D1" s="15" t="s">
        <v>20</v>
      </c>
      <c r="E1" s="17">
        <v>1.6</v>
      </c>
      <c r="F1" s="16" t="s">
        <v>19</v>
      </c>
      <c r="I1" s="7" t="s">
        <v>38</v>
      </c>
    </row>
    <row r="2" spans="1:21" ht="17.25" customHeight="1" x14ac:dyDescent="0.25">
      <c r="A2" s="26"/>
      <c r="B2" s="26"/>
      <c r="E2" s="21" t="s">
        <v>0</v>
      </c>
      <c r="I2" s="8" t="s">
        <v>55</v>
      </c>
    </row>
    <row r="3" spans="1:21" s="8" customFormat="1" x14ac:dyDescent="0.25">
      <c r="A3" s="8" t="s">
        <v>5</v>
      </c>
      <c r="B3" s="8" t="s">
        <v>1</v>
      </c>
      <c r="C3" s="8" t="s">
        <v>27</v>
      </c>
      <c r="D3" s="8" t="s">
        <v>3</v>
      </c>
      <c r="E3" s="10" t="s">
        <v>54</v>
      </c>
      <c r="F3" s="10" t="s">
        <v>25</v>
      </c>
      <c r="G3" s="10" t="s">
        <v>26</v>
      </c>
      <c r="H3" s="9"/>
      <c r="I3" s="18" t="s">
        <v>39</v>
      </c>
      <c r="J3" s="18" t="s">
        <v>40</v>
      </c>
      <c r="K3" s="18" t="s">
        <v>41</v>
      </c>
      <c r="L3" s="18" t="s">
        <v>42</v>
      </c>
      <c r="M3" s="18" t="s">
        <v>43</v>
      </c>
      <c r="N3" s="18" t="s">
        <v>44</v>
      </c>
      <c r="O3" s="18" t="s">
        <v>45</v>
      </c>
      <c r="P3" s="18" t="s">
        <v>46</v>
      </c>
      <c r="Q3" s="18" t="s">
        <v>47</v>
      </c>
      <c r="R3" s="18" t="s">
        <v>48</v>
      </c>
      <c r="S3" s="18" t="s">
        <v>49</v>
      </c>
      <c r="T3" s="18" t="s">
        <v>50</v>
      </c>
      <c r="U3" s="22" t="s">
        <v>35</v>
      </c>
    </row>
    <row r="4" spans="1:21" x14ac:dyDescent="0.25">
      <c r="A4" s="19" t="s">
        <v>2</v>
      </c>
      <c r="B4" s="19" t="s">
        <v>12</v>
      </c>
      <c r="C4" s="19" t="s">
        <v>28</v>
      </c>
      <c r="D4" s="19" t="s">
        <v>4</v>
      </c>
      <c r="E4" s="4">
        <v>120000</v>
      </c>
      <c r="F4" s="2">
        <v>36209.25</v>
      </c>
      <c r="G4" s="5">
        <f>+E4-F4</f>
        <v>83790.75</v>
      </c>
      <c r="I4" s="23">
        <v>0</v>
      </c>
      <c r="J4" s="23">
        <v>0</v>
      </c>
      <c r="K4" s="23">
        <v>0</v>
      </c>
      <c r="L4" s="23">
        <f>+G4</f>
        <v>83790.75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5">
        <f>SUM(I4:T4)</f>
        <v>83790.75</v>
      </c>
    </row>
    <row r="5" spans="1:21" x14ac:dyDescent="0.25">
      <c r="A5" s="19" t="s">
        <v>21</v>
      </c>
      <c r="B5" s="19" t="s">
        <v>22</v>
      </c>
      <c r="C5" s="19" t="s">
        <v>28</v>
      </c>
      <c r="D5" s="19" t="s">
        <v>23</v>
      </c>
      <c r="E5" s="2">
        <v>20000</v>
      </c>
      <c r="F5" s="2">
        <v>0</v>
      </c>
      <c r="G5" s="5">
        <f t="shared" ref="G5:G14" si="0">+E5-F5</f>
        <v>20000</v>
      </c>
      <c r="I5" s="23">
        <v>0</v>
      </c>
      <c r="J5" s="23">
        <v>0</v>
      </c>
      <c r="K5" s="23">
        <v>0</v>
      </c>
      <c r="L5" s="23">
        <f>+G5</f>
        <v>20000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5">
        <f t="shared" ref="U5:U16" si="1">SUM(I5:T5)</f>
        <v>20000</v>
      </c>
    </row>
    <row r="6" spans="1:21" x14ac:dyDescent="0.25">
      <c r="A6" s="19" t="s">
        <v>2</v>
      </c>
      <c r="B6" s="19" t="s">
        <v>58</v>
      </c>
      <c r="C6" s="19" t="s">
        <v>28</v>
      </c>
      <c r="D6" s="19" t="s">
        <v>59</v>
      </c>
      <c r="E6" s="2">
        <f>9500*E1</f>
        <v>15200</v>
      </c>
      <c r="F6" s="2">
        <v>0</v>
      </c>
      <c r="G6" s="5">
        <f t="shared" si="0"/>
        <v>15200</v>
      </c>
      <c r="I6" s="23">
        <v>0</v>
      </c>
      <c r="J6" s="23">
        <v>0</v>
      </c>
      <c r="K6" s="23">
        <v>0</v>
      </c>
      <c r="L6" s="23">
        <f>+G6</f>
        <v>15200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5">
        <f t="shared" ref="U6" si="2">SUM(I6:T6)</f>
        <v>15200</v>
      </c>
    </row>
    <row r="7" spans="1:21" x14ac:dyDescent="0.25">
      <c r="A7" s="19" t="s">
        <v>57</v>
      </c>
      <c r="B7" s="19" t="s">
        <v>56</v>
      </c>
      <c r="C7" s="19" t="s">
        <v>28</v>
      </c>
      <c r="D7" s="19" t="s">
        <v>23</v>
      </c>
      <c r="E7" s="2">
        <v>11000</v>
      </c>
      <c r="F7" s="2">
        <v>0</v>
      </c>
      <c r="G7" s="5">
        <f t="shared" si="0"/>
        <v>11000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f>+G7</f>
        <v>11000</v>
      </c>
      <c r="P7" s="23"/>
      <c r="Q7" s="23">
        <v>0</v>
      </c>
      <c r="R7" s="23">
        <v>0</v>
      </c>
      <c r="S7" s="23">
        <v>0</v>
      </c>
      <c r="T7" s="23">
        <v>0</v>
      </c>
      <c r="U7" s="5">
        <f t="shared" ref="U7" si="3">SUM(I7:T7)</f>
        <v>11000</v>
      </c>
    </row>
    <row r="8" spans="1:21" x14ac:dyDescent="0.25">
      <c r="A8" s="19" t="s">
        <v>6</v>
      </c>
      <c r="B8" s="19" t="s">
        <v>24</v>
      </c>
      <c r="C8" s="19" t="s">
        <v>28</v>
      </c>
      <c r="D8" s="19" t="s">
        <v>7</v>
      </c>
      <c r="E8" s="2">
        <v>106377.60000000001</v>
      </c>
      <c r="F8" s="2">
        <v>43027.08</v>
      </c>
      <c r="G8" s="5">
        <f t="shared" si="0"/>
        <v>63350.520000000004</v>
      </c>
      <c r="I8" s="23">
        <v>0</v>
      </c>
      <c r="J8" s="23">
        <v>0</v>
      </c>
      <c r="K8" s="23">
        <v>0</v>
      </c>
      <c r="L8" s="23">
        <v>0</v>
      </c>
      <c r="M8" s="23">
        <f>+G8</f>
        <v>63350.520000000004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5">
        <f t="shared" si="1"/>
        <v>63350.520000000004</v>
      </c>
    </row>
    <row r="9" spans="1:21" x14ac:dyDescent="0.25">
      <c r="A9" s="19" t="s">
        <v>8</v>
      </c>
      <c r="B9" s="19" t="s">
        <v>51</v>
      </c>
      <c r="C9" s="19" t="s">
        <v>28</v>
      </c>
      <c r="D9" s="19" t="s">
        <v>9</v>
      </c>
      <c r="E9" s="2">
        <v>105000</v>
      </c>
      <c r="F9" s="2">
        <v>52500</v>
      </c>
      <c r="G9" s="5">
        <f t="shared" si="0"/>
        <v>52500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f>+G9</f>
        <v>52500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5">
        <f t="shared" si="1"/>
        <v>52500</v>
      </c>
    </row>
    <row r="10" spans="1:21" x14ac:dyDescent="0.25">
      <c r="A10" s="19" t="s">
        <v>10</v>
      </c>
      <c r="B10" s="19" t="s">
        <v>53</v>
      </c>
      <c r="C10" s="19" t="s">
        <v>29</v>
      </c>
      <c r="D10" s="19" t="s">
        <v>11</v>
      </c>
      <c r="E10" s="2">
        <v>2250</v>
      </c>
      <c r="F10" s="2">
        <v>562.5</v>
      </c>
      <c r="G10" s="5">
        <f t="shared" si="0"/>
        <v>1687.5</v>
      </c>
      <c r="I10" s="23">
        <v>0</v>
      </c>
      <c r="J10" s="23">
        <v>0</v>
      </c>
      <c r="K10" s="23">
        <v>0</v>
      </c>
      <c r="L10" s="23">
        <v>0</v>
      </c>
      <c r="M10" s="23">
        <f>+G10</f>
        <v>1687.5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5">
        <f t="shared" si="1"/>
        <v>1687.5</v>
      </c>
    </row>
    <row r="11" spans="1:21" x14ac:dyDescent="0.25">
      <c r="A11" s="19" t="s">
        <v>15</v>
      </c>
      <c r="B11" s="19" t="s">
        <v>17</v>
      </c>
      <c r="C11" s="19" t="s">
        <v>29</v>
      </c>
      <c r="D11" s="19" t="s">
        <v>15</v>
      </c>
      <c r="E11" s="2">
        <v>65000</v>
      </c>
      <c r="F11" s="2">
        <v>13882.07</v>
      </c>
      <c r="G11" s="5">
        <f t="shared" si="0"/>
        <v>51117.93</v>
      </c>
      <c r="I11" s="23">
        <v>0</v>
      </c>
      <c r="J11" s="23">
        <v>0</v>
      </c>
      <c r="K11" s="23">
        <v>0</v>
      </c>
      <c r="L11" s="23">
        <v>0</v>
      </c>
      <c r="M11" s="23">
        <f>+G11*0.5</f>
        <v>25558.965</v>
      </c>
      <c r="N11" s="23">
        <v>0</v>
      </c>
      <c r="O11" s="23">
        <f>+G11*0.5</f>
        <v>25558.965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5">
        <f t="shared" si="1"/>
        <v>51117.93</v>
      </c>
    </row>
    <row r="12" spans="1:21" x14ac:dyDescent="0.25">
      <c r="A12" s="19" t="s">
        <v>16</v>
      </c>
      <c r="B12" s="19" t="s">
        <v>52</v>
      </c>
      <c r="C12" s="19" t="s">
        <v>29</v>
      </c>
      <c r="D12" s="20" t="s">
        <v>23</v>
      </c>
      <c r="E12" s="2">
        <v>35000</v>
      </c>
      <c r="F12" s="2">
        <v>0</v>
      </c>
      <c r="G12" s="5">
        <f t="shared" si="0"/>
        <v>35000</v>
      </c>
      <c r="I12" s="23">
        <v>0</v>
      </c>
      <c r="J12" s="23">
        <v>0</v>
      </c>
      <c r="K12" s="23">
        <v>0</v>
      </c>
      <c r="L12" s="23">
        <f>+G12*0.5</f>
        <v>17500</v>
      </c>
      <c r="M12" s="23">
        <f>+G12*0.5</f>
        <v>17500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5">
        <f t="shared" si="1"/>
        <v>35000</v>
      </c>
    </row>
    <row r="13" spans="1:21" x14ac:dyDescent="0.25">
      <c r="A13" s="19" t="s">
        <v>14</v>
      </c>
      <c r="B13" s="19" t="s">
        <v>18</v>
      </c>
      <c r="C13" s="19" t="s">
        <v>29</v>
      </c>
      <c r="D13" s="19" t="s">
        <v>15</v>
      </c>
      <c r="E13" s="2">
        <f>55000+85000</f>
        <v>140000</v>
      </c>
      <c r="F13" s="2">
        <v>40000</v>
      </c>
      <c r="G13" s="5">
        <f t="shared" si="0"/>
        <v>100000</v>
      </c>
      <c r="I13" s="23">
        <v>0</v>
      </c>
      <c r="J13" s="23">
        <v>0</v>
      </c>
      <c r="K13" s="23">
        <v>4000</v>
      </c>
      <c r="L13" s="23">
        <v>30000</v>
      </c>
      <c r="M13" s="23">
        <v>0</v>
      </c>
      <c r="N13" s="23">
        <v>30000</v>
      </c>
      <c r="O13" s="23">
        <v>36000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5">
        <f t="shared" si="1"/>
        <v>100000</v>
      </c>
    </row>
    <row r="14" spans="1:21" x14ac:dyDescent="0.25">
      <c r="A14" s="19" t="s">
        <v>15</v>
      </c>
      <c r="B14" s="19" t="s">
        <v>13</v>
      </c>
      <c r="C14" s="19" t="s">
        <v>30</v>
      </c>
      <c r="D14" s="19" t="s">
        <v>15</v>
      </c>
      <c r="E14" s="2">
        <v>120000</v>
      </c>
      <c r="F14" s="2">
        <v>15091.85</v>
      </c>
      <c r="G14" s="5">
        <f t="shared" si="0"/>
        <v>104908.15</v>
      </c>
      <c r="I14" s="23">
        <v>0</v>
      </c>
      <c r="J14" s="23">
        <v>0</v>
      </c>
      <c r="K14" s="23">
        <f>+G14*0.5</f>
        <v>52454.074999999997</v>
      </c>
      <c r="L14" s="23">
        <f>+G14*0.5</f>
        <v>52454.074999999997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5">
        <f t="shared" si="1"/>
        <v>104908.15</v>
      </c>
    </row>
    <row r="15" spans="1:21" ht="9" customHeight="1" x14ac:dyDescent="0.25">
      <c r="E15" s="13"/>
      <c r="F15" s="13"/>
      <c r="G15" s="1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13"/>
    </row>
    <row r="16" spans="1:21" s="8" customFormat="1" x14ac:dyDescent="0.25">
      <c r="B16" s="8" t="s">
        <v>35</v>
      </c>
      <c r="E16" s="9">
        <f>SUM(E4:E15)</f>
        <v>739827.6</v>
      </c>
      <c r="F16" s="9">
        <f>SUM(F4:F15)</f>
        <v>201272.75000000003</v>
      </c>
      <c r="G16" s="25">
        <f>SUM(G4:G15)</f>
        <v>538554.85</v>
      </c>
      <c r="H16" s="9"/>
      <c r="I16" s="9">
        <f t="shared" ref="I16:T16" si="4">SUM(I4:I15)</f>
        <v>0</v>
      </c>
      <c r="J16" s="9">
        <f t="shared" si="4"/>
        <v>0</v>
      </c>
      <c r="K16" s="9">
        <f t="shared" si="4"/>
        <v>56454.074999999997</v>
      </c>
      <c r="L16" s="9">
        <f t="shared" si="4"/>
        <v>218944.82500000001</v>
      </c>
      <c r="M16" s="9">
        <f t="shared" si="4"/>
        <v>108096.985</v>
      </c>
      <c r="N16" s="9">
        <f t="shared" si="4"/>
        <v>82500</v>
      </c>
      <c r="O16" s="9">
        <f t="shared" si="4"/>
        <v>72558.964999999997</v>
      </c>
      <c r="P16" s="9">
        <f t="shared" si="4"/>
        <v>0</v>
      </c>
      <c r="Q16" s="9">
        <f t="shared" si="4"/>
        <v>0</v>
      </c>
      <c r="R16" s="9">
        <f t="shared" si="4"/>
        <v>0</v>
      </c>
      <c r="S16" s="9">
        <f t="shared" si="4"/>
        <v>0</v>
      </c>
      <c r="T16" s="9">
        <f t="shared" si="4"/>
        <v>0</v>
      </c>
      <c r="U16" s="25">
        <f t="shared" si="1"/>
        <v>538554.85</v>
      </c>
    </row>
    <row r="17" spans="2:21" ht="11.25" customHeight="1" x14ac:dyDescent="0.25">
      <c r="U17" s="3"/>
    </row>
    <row r="18" spans="2:21" x14ac:dyDescent="0.25">
      <c r="B18" s="8" t="s">
        <v>36</v>
      </c>
    </row>
    <row r="19" spans="2:21" x14ac:dyDescent="0.25">
      <c r="B19" s="12" t="s">
        <v>32</v>
      </c>
      <c r="E19" s="2">
        <v>50000</v>
      </c>
      <c r="F19" s="2">
        <v>0</v>
      </c>
      <c r="G19" s="5">
        <f t="shared" ref="G19:G21" si="5">+E19-F19</f>
        <v>50000</v>
      </c>
      <c r="I19" s="23">
        <v>0</v>
      </c>
      <c r="J19" s="23">
        <v>0</v>
      </c>
      <c r="K19" s="23">
        <f>+G19</f>
        <v>50000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5">
        <f>SUM(I19:T19)</f>
        <v>50000</v>
      </c>
    </row>
    <row r="20" spans="2:21" x14ac:dyDescent="0.25">
      <c r="B20" s="12" t="s">
        <v>31</v>
      </c>
      <c r="E20" s="2">
        <v>110000</v>
      </c>
      <c r="F20" s="2">
        <v>0</v>
      </c>
      <c r="G20" s="5">
        <f t="shared" si="5"/>
        <v>110000</v>
      </c>
      <c r="I20" s="23">
        <v>0</v>
      </c>
      <c r="J20" s="23">
        <v>0</v>
      </c>
      <c r="K20" s="23">
        <f>+G20</f>
        <v>110000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5">
        <f>SUM(I20:T20)</f>
        <v>110000</v>
      </c>
    </row>
    <row r="21" spans="2:21" x14ac:dyDescent="0.25">
      <c r="B21" s="12" t="s">
        <v>33</v>
      </c>
      <c r="E21" s="2">
        <v>60000</v>
      </c>
      <c r="F21" s="2">
        <v>0</v>
      </c>
      <c r="G21" s="5">
        <f t="shared" si="5"/>
        <v>60000</v>
      </c>
      <c r="I21" s="23">
        <v>0</v>
      </c>
      <c r="J21" s="23">
        <v>0</v>
      </c>
      <c r="K21" s="23">
        <v>0</v>
      </c>
      <c r="L21" s="23">
        <f>+G21</f>
        <v>60000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5">
        <f>SUM(I21:T21)</f>
        <v>60000</v>
      </c>
    </row>
    <row r="22" spans="2:21" x14ac:dyDescent="0.25">
      <c r="E22" s="13"/>
      <c r="F22" s="13"/>
      <c r="G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2:21" x14ac:dyDescent="0.25">
      <c r="B23" s="8" t="s">
        <v>36</v>
      </c>
      <c r="E23" s="9">
        <f>SUM(E19:E22)</f>
        <v>220000</v>
      </c>
      <c r="F23" s="9">
        <f>SUM(F19:F22)</f>
        <v>0</v>
      </c>
      <c r="G23" s="25">
        <f>SUM(G19:G22)</f>
        <v>220000</v>
      </c>
      <c r="I23" s="9">
        <f t="shared" ref="I23:R23" si="6">SUM(I19:I22)</f>
        <v>0</v>
      </c>
      <c r="J23" s="9">
        <f t="shared" si="6"/>
        <v>0</v>
      </c>
      <c r="K23" s="9">
        <f t="shared" si="6"/>
        <v>160000</v>
      </c>
      <c r="L23" s="9">
        <f t="shared" si="6"/>
        <v>60000</v>
      </c>
      <c r="M23" s="9">
        <f t="shared" si="6"/>
        <v>0</v>
      </c>
      <c r="N23" s="9">
        <f t="shared" si="6"/>
        <v>0</v>
      </c>
      <c r="O23" s="9">
        <f t="shared" si="6"/>
        <v>0</v>
      </c>
      <c r="P23" s="9">
        <f t="shared" si="6"/>
        <v>0</v>
      </c>
      <c r="Q23" s="9">
        <f t="shared" si="6"/>
        <v>0</v>
      </c>
      <c r="R23" s="9">
        <f t="shared" si="6"/>
        <v>0</v>
      </c>
      <c r="S23" s="9">
        <f>SUM(S19:S22)</f>
        <v>0</v>
      </c>
      <c r="T23" s="9">
        <f>SUM(T19:T22)</f>
        <v>0</v>
      </c>
      <c r="U23" s="25">
        <f>SUM(I23:T23)</f>
        <v>220000</v>
      </c>
    </row>
    <row r="25" spans="2:21" s="6" customFormat="1" ht="15.75" thickBot="1" x14ac:dyDescent="0.3">
      <c r="B25" s="6" t="s">
        <v>37</v>
      </c>
      <c r="E25" s="14">
        <f>+E16+E23</f>
        <v>959827.6</v>
      </c>
      <c r="F25" s="14">
        <f t="shared" ref="F25:R25" si="7">+F16+F23</f>
        <v>201272.75000000003</v>
      </c>
      <c r="G25" s="27">
        <f t="shared" si="7"/>
        <v>758554.85</v>
      </c>
      <c r="H25" s="7"/>
      <c r="I25" s="14">
        <f t="shared" si="7"/>
        <v>0</v>
      </c>
      <c r="J25" s="14">
        <f t="shared" si="7"/>
        <v>0</v>
      </c>
      <c r="K25" s="14">
        <f t="shared" si="7"/>
        <v>216454.07500000001</v>
      </c>
      <c r="L25" s="14">
        <f t="shared" si="7"/>
        <v>278944.82500000001</v>
      </c>
      <c r="M25" s="14">
        <f t="shared" si="7"/>
        <v>108096.985</v>
      </c>
      <c r="N25" s="14">
        <f t="shared" si="7"/>
        <v>82500</v>
      </c>
      <c r="O25" s="14">
        <f t="shared" si="7"/>
        <v>72558.964999999997</v>
      </c>
      <c r="P25" s="14">
        <f t="shared" si="7"/>
        <v>0</v>
      </c>
      <c r="Q25" s="14">
        <f t="shared" si="7"/>
        <v>0</v>
      </c>
      <c r="R25" s="14">
        <f t="shared" si="7"/>
        <v>0</v>
      </c>
      <c r="S25" s="14">
        <f>+S16+S23</f>
        <v>0</v>
      </c>
      <c r="T25" s="14">
        <f>+T16+T23</f>
        <v>0</v>
      </c>
      <c r="U25" s="27">
        <f>SUM(I25:T25)</f>
        <v>758554.85</v>
      </c>
    </row>
    <row r="26" spans="2:21" ht="15.75" thickTop="1" x14ac:dyDescent="0.25"/>
    <row r="28" spans="2:21" s="8" customFormat="1" x14ac:dyDescent="0.25">
      <c r="E28" s="9"/>
      <c r="F28" s="9"/>
      <c r="G28" s="9"/>
      <c r="H28" s="9"/>
      <c r="I28" s="9"/>
      <c r="J28" s="9"/>
      <c r="K28" s="9"/>
      <c r="L28" s="11"/>
    </row>
  </sheetData>
  <mergeCells count="1">
    <mergeCell ref="A1:B2"/>
  </mergeCells>
  <phoneticPr fontId="11" type="noConversion"/>
  <pageMargins left="0.17" right="0.17" top="0.28999999999999998" bottom="0.75" header="0.3" footer="0.3"/>
  <pageSetup paperSize="5" scale="82" fitToHeight="0" orientation="landscape" r:id="rId1"/>
  <headerFooter>
    <oddFooter>&amp;L&amp;Z&amp;F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 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Noudelman</dc:creator>
  <cp:lastModifiedBy>Shahab Punjani</cp:lastModifiedBy>
  <cp:lastPrinted>2026-03-11T18:54:49Z</cp:lastPrinted>
  <dcterms:created xsi:type="dcterms:W3CDTF">2026-03-10T19:27:37Z</dcterms:created>
  <dcterms:modified xsi:type="dcterms:W3CDTF">2026-03-11T20:20:09Z</dcterms:modified>
</cp:coreProperties>
</file>